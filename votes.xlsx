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vote system\"/>
    </mc:Choice>
  </mc:AlternateContent>
  <xr:revisionPtr revIDLastSave="0" documentId="13_ncr:1_{ED3EE844-F6DC-4089-98CB-2B8105803CA1}" xr6:coauthVersionLast="47" xr6:coauthVersionMax="47" xr10:uidLastSave="{00000000-0000-0000-0000-000000000000}"/>
  <bookViews>
    <workbookView xWindow="-120" yWindow="-120" windowWidth="20730" windowHeight="11160" xr2:uid="{0FF13015-6869-4B5F-810D-01960429D1A0}"/>
  </bookViews>
  <sheets>
    <sheet name="Dept Budg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3" i="2" l="1"/>
  <c r="F98" i="2"/>
  <c r="F54" i="2"/>
  <c r="F42" i="2"/>
  <c r="F22" i="2"/>
  <c r="F104" i="2" l="1"/>
  <c r="F117" i="2" s="1"/>
</calcChain>
</file>

<file path=xl/sharedStrings.xml><?xml version="1.0" encoding="utf-8"?>
<sst xmlns="http://schemas.openxmlformats.org/spreadsheetml/2006/main" count="219" uniqueCount="163">
  <si>
    <t>Computer Equipment</t>
  </si>
  <si>
    <t>E-TAX 2</t>
  </si>
  <si>
    <t>ERP Maintenance</t>
  </si>
  <si>
    <t>TOTAL</t>
  </si>
  <si>
    <t>GOU-VOTE</t>
  </si>
  <si>
    <t>GOU-DESCRIPTION</t>
  </si>
  <si>
    <t>VOTE</t>
  </si>
  <si>
    <t>DESCRIPTION</t>
  </si>
  <si>
    <t>A</t>
  </si>
  <si>
    <t>STAFF COSTS</t>
  </si>
  <si>
    <t>General Staff Salaries</t>
  </si>
  <si>
    <t>Consolidated Pay</t>
  </si>
  <si>
    <t>Allowances</t>
  </si>
  <si>
    <t>Hardship Allowance</t>
  </si>
  <si>
    <t>Workmen's Compensation</t>
  </si>
  <si>
    <t>Social Security Contribution</t>
  </si>
  <si>
    <t>Insurances</t>
  </si>
  <si>
    <t>Death Benefits (Group Life Assurance)</t>
  </si>
  <si>
    <t>Gratuity Expenses</t>
  </si>
  <si>
    <t>Gratuity</t>
  </si>
  <si>
    <t>Service Award</t>
  </si>
  <si>
    <t>Medical Expenses</t>
  </si>
  <si>
    <t>Medical Allowance</t>
  </si>
  <si>
    <t>Responsibility Allowance</t>
  </si>
  <si>
    <t>Special Allowance</t>
  </si>
  <si>
    <t>Retirement Benefit Scheme-RBS</t>
  </si>
  <si>
    <t>Commuted Leave Pay</t>
  </si>
  <si>
    <t>Performance Base pay - Reward</t>
  </si>
  <si>
    <t>Housing Allowance-SCT</t>
  </si>
  <si>
    <t>Cost of living -SCT</t>
  </si>
  <si>
    <t>Specialist Talent Retention</t>
  </si>
  <si>
    <t>TOTAL FOR STAFF COSTS</t>
  </si>
  <si>
    <t>B</t>
  </si>
  <si>
    <t>TRANSPORT COST</t>
  </si>
  <si>
    <t>Travel Inland</t>
  </si>
  <si>
    <t>Mileage Allowance</t>
  </si>
  <si>
    <t xml:space="preserve">Public Transport </t>
  </si>
  <si>
    <t xml:space="preserve">Night/Subsistence Allow. </t>
  </si>
  <si>
    <t>Maintenance Vehicles</t>
  </si>
  <si>
    <t>Car Washing/Parking Fees</t>
  </si>
  <si>
    <t>Fuel, lubricants and oils</t>
  </si>
  <si>
    <t>Petrol and Diesel</t>
  </si>
  <si>
    <t>Tyres and Tubes</t>
  </si>
  <si>
    <t>Repairs-Motor Vehicles</t>
  </si>
  <si>
    <t>Insurance-Motor Vehicles</t>
  </si>
  <si>
    <t>Carriage,haulage,freight and transport hire</t>
  </si>
  <si>
    <t>Hire of Vehicles</t>
  </si>
  <si>
    <t>Transfer Expenses</t>
  </si>
  <si>
    <t>Travel Abroad</t>
  </si>
  <si>
    <t>Other Travelling Expenses</t>
  </si>
  <si>
    <t>Overseas Air/Sea Fares</t>
  </si>
  <si>
    <t>Overseas Subsistence All.</t>
  </si>
  <si>
    <t>Maintenance Of Boats</t>
  </si>
  <si>
    <t>Earatc - Travel</t>
  </si>
  <si>
    <t>EAC-COMESA Travel</t>
  </si>
  <si>
    <t>Regional Travel &amp; Engagement</t>
  </si>
  <si>
    <t>Fleet Management System</t>
  </si>
  <si>
    <t>TOTAL FOR TRANSPORT COSTS</t>
  </si>
  <si>
    <t>C</t>
  </si>
  <si>
    <t>MAINTENANCE COSTS</t>
  </si>
  <si>
    <t>Maintenance-Civil</t>
  </si>
  <si>
    <t>Maint.-Office Buildings</t>
  </si>
  <si>
    <t>Maintenance-Other</t>
  </si>
  <si>
    <t>Upkeep of Grounds &amp; Gardens</t>
  </si>
  <si>
    <t>Maintenance-Machinery,equipment&amp;Furniture</t>
  </si>
  <si>
    <t>Maint.-Office Furniture</t>
  </si>
  <si>
    <t>Maint.-Office Equipment</t>
  </si>
  <si>
    <t>Computer supplies and IT services</t>
  </si>
  <si>
    <t>Maint.-Computer Equipment</t>
  </si>
  <si>
    <t>Parking Yards and Roads</t>
  </si>
  <si>
    <t>Property expenses</t>
  </si>
  <si>
    <t>Processing Land Titles</t>
  </si>
  <si>
    <t>Maint.-Plant &amp; Generator</t>
  </si>
  <si>
    <t>URA Science Lab Maintenance</t>
  </si>
  <si>
    <t>TOTAL FOR MAINTENANCE COSTS</t>
  </si>
  <si>
    <t>D</t>
  </si>
  <si>
    <t>OTHER CHARGES</t>
  </si>
  <si>
    <t>Postage &amp; Courier</t>
  </si>
  <si>
    <t>Postal Charges</t>
  </si>
  <si>
    <t>Telecommunications</t>
  </si>
  <si>
    <t>Telecom Charges</t>
  </si>
  <si>
    <t>Electiricty</t>
  </si>
  <si>
    <t>Electricity Charges</t>
  </si>
  <si>
    <t>Water</t>
  </si>
  <si>
    <t>Rates</t>
  </si>
  <si>
    <t>Rates On Properties</t>
  </si>
  <si>
    <t>Cleaning &amp; Sanitation</t>
  </si>
  <si>
    <t>Office Cleaning Expenses</t>
  </si>
  <si>
    <t>Welfare and Entertainment</t>
  </si>
  <si>
    <t>Office Tea Expenses</t>
  </si>
  <si>
    <t>Rent</t>
  </si>
  <si>
    <t>Office Accommodation Exp</t>
  </si>
  <si>
    <t>Recruitment Expenses</t>
  </si>
  <si>
    <t>Staff Recruitment</t>
  </si>
  <si>
    <t xml:space="preserve">Printing &amp; Stationery </t>
  </si>
  <si>
    <t xml:space="preserve">Printing and Stationery </t>
  </si>
  <si>
    <t>General Insurance</t>
  </si>
  <si>
    <t>Office Removals</t>
  </si>
  <si>
    <t>Staff training</t>
  </si>
  <si>
    <t>Departmental Training</t>
  </si>
  <si>
    <t>Books periodicals&amp;Newspapers</t>
  </si>
  <si>
    <t>Library and Periodicals</t>
  </si>
  <si>
    <t>Bank charges and other bank related costs</t>
  </si>
  <si>
    <t>Bank Charges</t>
  </si>
  <si>
    <t>Incapacity, death benefits and funeral expenses</t>
  </si>
  <si>
    <t>Welfare Services</t>
  </si>
  <si>
    <t>Fines and penalties/Court Awards</t>
  </si>
  <si>
    <t>Legal Fees and Expenses</t>
  </si>
  <si>
    <t>Consultancy service-short term</t>
  </si>
  <si>
    <t>Professional Fees</t>
  </si>
  <si>
    <t>Workshops and seminars</t>
  </si>
  <si>
    <t xml:space="preserve">Departmental Meetings </t>
  </si>
  <si>
    <t>Advertising and public relations</t>
  </si>
  <si>
    <t>Public Relations/Publicity</t>
  </si>
  <si>
    <t xml:space="preserve">Fieldwork/Lunch Expenses </t>
  </si>
  <si>
    <t xml:space="preserve">Entertainment &amp; Ceremonies </t>
  </si>
  <si>
    <t>Research expenses</t>
  </si>
  <si>
    <t>Uniforms,Bedidings and Protective Gear</t>
  </si>
  <si>
    <t>Clothing &amp; Uniform</t>
  </si>
  <si>
    <t>Guard and security expenses</t>
  </si>
  <si>
    <t>Office Security Expenses</t>
  </si>
  <si>
    <t>Revenue Stationery</t>
  </si>
  <si>
    <t>Subscriptions</t>
  </si>
  <si>
    <t>Contributions / Subscriptions</t>
  </si>
  <si>
    <t>Casual Labourer's Costs</t>
  </si>
  <si>
    <t xml:space="preserve">Intelligence Fund </t>
  </si>
  <si>
    <t xml:space="preserve">Sports and Games </t>
  </si>
  <si>
    <t>Destruction: Expired Item</t>
  </si>
  <si>
    <t>Information and communications technology</t>
  </si>
  <si>
    <t>Uranet Recurrent Costs</t>
  </si>
  <si>
    <t>Earatc Local Expenses</t>
  </si>
  <si>
    <t>Tax Payer Education</t>
  </si>
  <si>
    <t>Tax Payer Appreciation Day</t>
  </si>
  <si>
    <t>Staff Council Activities</t>
  </si>
  <si>
    <t>Rewards &amp; Recognition</t>
  </si>
  <si>
    <t>Balance scorecard</t>
  </si>
  <si>
    <t>URA Sector Strategic planning - Statistics</t>
  </si>
  <si>
    <t>TREP IV</t>
  </si>
  <si>
    <t>Exchange of Information</t>
  </si>
  <si>
    <t>Corporate Change Management</t>
  </si>
  <si>
    <t>TOTAL FOR OTHER CHARGES</t>
  </si>
  <si>
    <t>E</t>
  </si>
  <si>
    <t>BOARD EXPENSES</t>
  </si>
  <si>
    <t>Commissions and related charges</t>
  </si>
  <si>
    <t>Retainer Fees</t>
  </si>
  <si>
    <t>Sitting Allowance</t>
  </si>
  <si>
    <t>Other Board Expenses</t>
  </si>
  <si>
    <t>TOTAL FOR BOARD EXPENSES</t>
  </si>
  <si>
    <t>TOTAL RECURRENT EXPENDITURE</t>
  </si>
  <si>
    <t>CAPITAL EXPENDITURE &amp; EXTERNAL FINANCING</t>
  </si>
  <si>
    <t>Non-Residential Buildings</t>
  </si>
  <si>
    <t>URA  Building Construction</t>
  </si>
  <si>
    <t>ICT Equipment</t>
  </si>
  <si>
    <t>IDEP Project</t>
  </si>
  <si>
    <t>Office Equipment</t>
  </si>
  <si>
    <t>Machinery &amp; Equipment</t>
  </si>
  <si>
    <t>Furniture &amp; Fittings</t>
  </si>
  <si>
    <t>Motor Vehicles &amp; Cycles</t>
  </si>
  <si>
    <t>Transport Equipment</t>
  </si>
  <si>
    <t>DR System &amp; IT Licenses</t>
  </si>
  <si>
    <t>External Financing</t>
  </si>
  <si>
    <t>TOTAL FOR CAPITAL</t>
  </si>
  <si>
    <t>TOTAL RECURRENT, CAPITAL &amp; EXT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</si>
</sst>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_-;\-* #,##0_-;_-* &quot;-&quot;??_-;_-@_-"/>
    <numFmt numFmtId="165" formatCode="0;[Red]0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Bookman Old Style"/>
      <family val="1"/>
    </font>
    <font>
      <sz val="10"/>
      <color theme="1"/>
      <name val="Bookman Old Style"/>
      <family val="1"/>
    </font>
    <font>
      <sz val="9"/>
      <color theme="1"/>
      <name val="Bookman Old Style"/>
      <family val="1"/>
    </font>
    <font>
      <b/>
      <sz val="10"/>
      <name val="Bookman Old Style"/>
      <family val="1"/>
    </font>
    <font>
      <sz val="10"/>
      <name val="Bookman Old Style"/>
      <family val="1"/>
    </font>
    <font>
      <b/>
      <sz val="9"/>
      <name val="Bookman Old Style"/>
      <family val="1"/>
    </font>
    <font>
      <b/>
      <sz val="10"/>
      <color rgb="FF5B9BD5"/>
      <name val="Bookman Old Style"/>
      <family val="1"/>
    </font>
    <font>
      <b/>
      <sz val="11"/>
      <name val="Bookman Old Style"/>
      <family val="1"/>
    </font>
    <font>
      <sz val="11"/>
      <color theme="1"/>
      <name val="Bookman Old Style"/>
      <family val="1"/>
    </font>
    <font>
      <sz val="10"/>
      <color rgb="FFFF0000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3" fillId="0" borderId="0" xfId="0" applyFont="1"/>
    <xf numFmtId="164" fontId="3" fillId="0" borderId="0" xfId="1" applyNumberFormat="1" applyFont="1"/>
    <xf numFmtId="0" fontId="4" fillId="0" borderId="0" xfId="0" applyFont="1"/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vertical="top"/>
    </xf>
    <xf numFmtId="0" fontId="5" fillId="0" borderId="8" xfId="0" applyFont="1" applyBorder="1" applyAlignment="1">
      <alignment horizontal="center" vertical="top"/>
    </xf>
    <xf numFmtId="0" fontId="5" fillId="0" borderId="8" xfId="0" applyFont="1" applyBorder="1" applyAlignment="1">
      <alignment vertical="center" wrapText="1"/>
    </xf>
    <xf numFmtId="164" fontId="3" fillId="0" borderId="9" xfId="1" applyNumberFormat="1" applyFont="1" applyBorder="1" applyAlignment="1">
      <alignment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/>
    <xf numFmtId="165" fontId="6" fillId="5" borderId="7" xfId="3" applyNumberFormat="1" applyFont="1" applyFill="1" applyBorder="1" applyAlignment="1">
      <alignment horizontal="center" vertical="center"/>
    </xf>
    <xf numFmtId="166" fontId="6" fillId="5" borderId="8" xfId="3" applyNumberFormat="1" applyFont="1" applyFill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6" fillId="5" borderId="7" xfId="4" applyFont="1" applyFill="1" applyBorder="1" applyAlignment="1">
      <alignment horizontal="center" vertical="center" wrapText="1"/>
    </xf>
    <xf numFmtId="0" fontId="6" fillId="5" borderId="8" xfId="4" applyFont="1" applyFill="1" applyBorder="1" applyAlignment="1">
      <alignment vertical="center" wrapText="1"/>
    </xf>
    <xf numFmtId="0" fontId="6" fillId="5" borderId="8" xfId="4" applyFont="1" applyFill="1" applyBorder="1" applyAlignment="1">
      <alignment horizontal="left" vertical="center" wrapText="1"/>
    </xf>
    <xf numFmtId="164" fontId="5" fillId="6" borderId="2" xfId="1" applyNumberFormat="1" applyFont="1" applyFill="1" applyBorder="1" applyAlignment="1">
      <alignment vertical="center"/>
    </xf>
    <xf numFmtId="164" fontId="5" fillId="6" borderId="5" xfId="1" applyNumberFormat="1" applyFont="1" applyFill="1" applyBorder="1" applyAlignment="1">
      <alignment vertical="center"/>
    </xf>
    <xf numFmtId="0" fontId="5" fillId="6" borderId="5" xfId="0" applyFont="1" applyFill="1" applyBorder="1" applyAlignment="1">
      <alignment vertical="center" wrapText="1"/>
    </xf>
    <xf numFmtId="164" fontId="5" fillId="6" borderId="6" xfId="1" applyNumberFormat="1" applyFont="1" applyFill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164" fontId="3" fillId="0" borderId="9" xfId="1" applyNumberFormat="1" applyFont="1" applyBorder="1"/>
    <xf numFmtId="166" fontId="6" fillId="5" borderId="8" xfId="3" applyNumberFormat="1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vertical="center" wrapText="1"/>
    </xf>
    <xf numFmtId="3" fontId="7" fillId="4" borderId="6" xfId="0" applyNumberFormat="1" applyFont="1" applyFill="1" applyBorder="1" applyAlignment="1">
      <alignment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166" fontId="7" fillId="3" borderId="12" xfId="1" applyNumberFormat="1" applyFont="1" applyFill="1" applyBorder="1" applyAlignment="1">
      <alignment vertical="center"/>
    </xf>
    <xf numFmtId="0" fontId="10" fillId="0" borderId="0" xfId="0" applyFont="1"/>
    <xf numFmtId="0" fontId="3" fillId="3" borderId="13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top"/>
    </xf>
    <xf numFmtId="0" fontId="10" fillId="4" borderId="5" xfId="0" applyFont="1" applyFill="1" applyBorder="1" applyAlignment="1">
      <alignment vertical="top"/>
    </xf>
    <xf numFmtId="0" fontId="10" fillId="4" borderId="5" xfId="0" applyFont="1" applyFill="1" applyBorder="1" applyAlignment="1">
      <alignment horizontal="left" vertical="top"/>
    </xf>
    <xf numFmtId="41" fontId="9" fillId="4" borderId="6" xfId="2" applyFont="1" applyFill="1" applyBorder="1" applyAlignment="1">
      <alignment horizontal="center" vertical="top" wrapText="1"/>
    </xf>
    <xf numFmtId="0" fontId="10" fillId="0" borderId="0" xfId="0" applyFont="1" applyAlignment="1">
      <alignment vertical="top"/>
    </xf>
    <xf numFmtId="164" fontId="6" fillId="0" borderId="9" xfId="1" applyNumberFormat="1" applyFont="1" applyBorder="1" applyAlignment="1">
      <alignment vertical="center"/>
    </xf>
    <xf numFmtId="0" fontId="11" fillId="0" borderId="0" xfId="0" applyFont="1"/>
    <xf numFmtId="3" fontId="5" fillId="5" borderId="8" xfId="0" applyNumberFormat="1" applyFont="1" applyFill="1" applyBorder="1" applyAlignment="1">
      <alignment vertical="center"/>
    </xf>
    <xf numFmtId="0" fontId="5" fillId="7" borderId="5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3" fontId="8" fillId="0" borderId="0" xfId="0" applyNumberFormat="1" applyFont="1"/>
    <xf numFmtId="0" fontId="3" fillId="0" borderId="0" xfId="0" applyFont="1" applyAlignment="1">
      <alignment horizontal="left" vertical="top"/>
    </xf>
    <xf numFmtId="0" fontId="2" fillId="3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</cellXfs>
  <cellStyles count="5">
    <cellStyle name="Comma" xfId="1" builtinId="3"/>
    <cellStyle name="Comma [0]" xfId="2" builtinId="6"/>
    <cellStyle name="Comma 3" xfId="3" xr:uid="{E7566808-719C-4319-9747-4F09D8112616}"/>
    <cellStyle name="Normal" xfId="0" builtinId="0"/>
    <cellStyle name="Normal 2" xfId="4" xr:uid="{121218B1-FA50-4977-9961-0D52E88DB9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07E21-42B5-4761-A147-CA76AF412359}">
  <dimension ref="B1:F286"/>
  <sheetViews>
    <sheetView tabSelected="1" topLeftCell="A106" workbookViewId="0">
      <selection activeCell="K10" sqref="K10"/>
    </sheetView>
  </sheetViews>
  <sheetFormatPr defaultColWidth="8.7109375" defaultRowHeight="15" x14ac:dyDescent="0.3"/>
  <cols>
    <col min="1" max="1" width="8.7109375" style="1"/>
    <col min="2" max="2" width="16" style="1" customWidth="1"/>
    <col min="3" max="3" width="21" style="1" customWidth="1"/>
    <col min="4" max="4" width="14.140625" style="1" customWidth="1"/>
    <col min="5" max="5" width="46.140625" style="1" customWidth="1"/>
    <col min="6" max="6" width="20.42578125" style="2" customWidth="1"/>
    <col min="7" max="16384" width="8.7109375" style="1"/>
  </cols>
  <sheetData>
    <row r="1" spans="2:6" ht="15.75" thickBot="1" x14ac:dyDescent="0.35"/>
    <row r="2" spans="2:6" ht="16.5" thickBot="1" x14ac:dyDescent="0.35">
      <c r="B2" s="36"/>
      <c r="C2" s="50"/>
      <c r="D2" s="51"/>
      <c r="E2" s="51"/>
      <c r="F2" s="52"/>
    </row>
    <row r="3" spans="2:6" s="41" customFormat="1" ht="34.9" customHeight="1" thickBot="1" x14ac:dyDescent="0.3">
      <c r="B3" s="37"/>
      <c r="C3" s="38"/>
      <c r="D3" s="39"/>
      <c r="E3" s="38"/>
      <c r="F3" s="40" t="s">
        <v>3</v>
      </c>
    </row>
    <row r="4" spans="2:6" x14ac:dyDescent="0.3">
      <c r="B4" s="4" t="s">
        <v>4</v>
      </c>
      <c r="C4" s="5" t="s">
        <v>5</v>
      </c>
      <c r="D4" s="6" t="s">
        <v>6</v>
      </c>
      <c r="E4" s="7" t="s">
        <v>7</v>
      </c>
      <c r="F4" s="23"/>
    </row>
    <row r="5" spans="2:6" x14ac:dyDescent="0.3">
      <c r="B5" s="9"/>
      <c r="C5" s="10"/>
      <c r="D5" s="6" t="s">
        <v>8</v>
      </c>
      <c r="E5" s="7" t="s">
        <v>9</v>
      </c>
      <c r="F5" s="23"/>
    </row>
    <row r="6" spans="2:6" x14ac:dyDescent="0.3">
      <c r="B6" s="11">
        <v>211102</v>
      </c>
      <c r="C6" s="12" t="s">
        <v>10</v>
      </c>
      <c r="D6" s="13">
        <v>411001</v>
      </c>
      <c r="E6" s="7" t="s">
        <v>11</v>
      </c>
      <c r="F6" s="8">
        <v>4479347944.7396803</v>
      </c>
    </row>
    <row r="7" spans="2:6" x14ac:dyDescent="0.3">
      <c r="B7" s="14">
        <v>211103</v>
      </c>
      <c r="C7" s="15" t="s">
        <v>12</v>
      </c>
      <c r="D7" s="13">
        <v>411003</v>
      </c>
      <c r="E7" s="7" t="s">
        <v>13</v>
      </c>
      <c r="F7" s="8">
        <v>0</v>
      </c>
    </row>
    <row r="8" spans="2:6" x14ac:dyDescent="0.3">
      <c r="B8" s="14">
        <v>211103</v>
      </c>
      <c r="C8" s="15" t="s">
        <v>12</v>
      </c>
      <c r="D8" s="13">
        <v>411004</v>
      </c>
      <c r="E8" s="7" t="s">
        <v>14</v>
      </c>
      <c r="F8" s="8">
        <v>0</v>
      </c>
    </row>
    <row r="9" spans="2:6" ht="30" x14ac:dyDescent="0.3">
      <c r="B9" s="14">
        <v>212101</v>
      </c>
      <c r="C9" s="16" t="s">
        <v>15</v>
      </c>
      <c r="D9" s="13">
        <v>411005</v>
      </c>
      <c r="E9" s="7" t="s">
        <v>15</v>
      </c>
      <c r="F9" s="8">
        <v>448950765.37396801</v>
      </c>
    </row>
    <row r="10" spans="2:6" x14ac:dyDescent="0.3">
      <c r="B10" s="14">
        <v>226001</v>
      </c>
      <c r="C10" s="15" t="s">
        <v>16</v>
      </c>
      <c r="D10" s="13">
        <v>411007</v>
      </c>
      <c r="E10" s="7" t="s">
        <v>17</v>
      </c>
      <c r="F10" s="8">
        <v>0</v>
      </c>
    </row>
    <row r="11" spans="2:6" x14ac:dyDescent="0.3">
      <c r="B11" s="14">
        <v>213004</v>
      </c>
      <c r="C11" s="15" t="s">
        <v>18</v>
      </c>
      <c r="D11" s="13">
        <v>411008</v>
      </c>
      <c r="E11" s="7" t="s">
        <v>19</v>
      </c>
      <c r="F11" s="8">
        <v>294399396.52991998</v>
      </c>
    </row>
    <row r="12" spans="2:6" x14ac:dyDescent="0.3">
      <c r="B12" s="14">
        <v>211103</v>
      </c>
      <c r="C12" s="15" t="s">
        <v>12</v>
      </c>
      <c r="D12" s="13">
        <v>411010</v>
      </c>
      <c r="E12" s="7" t="s">
        <v>20</v>
      </c>
      <c r="F12" s="8">
        <v>0</v>
      </c>
    </row>
    <row r="13" spans="2:6" x14ac:dyDescent="0.3">
      <c r="B13" s="14">
        <v>213001</v>
      </c>
      <c r="C13" s="15" t="s">
        <v>21</v>
      </c>
      <c r="D13" s="13">
        <v>411011</v>
      </c>
      <c r="E13" s="7" t="s">
        <v>22</v>
      </c>
      <c r="F13" s="8">
        <v>176000000</v>
      </c>
    </row>
    <row r="14" spans="2:6" x14ac:dyDescent="0.3">
      <c r="B14" s="14">
        <v>211103</v>
      </c>
      <c r="C14" s="15" t="s">
        <v>12</v>
      </c>
      <c r="D14" s="13">
        <v>411013</v>
      </c>
      <c r="E14" s="7" t="s">
        <v>23</v>
      </c>
      <c r="F14" s="8">
        <v>0</v>
      </c>
    </row>
    <row r="15" spans="2:6" x14ac:dyDescent="0.3">
      <c r="B15" s="14">
        <v>211103</v>
      </c>
      <c r="C15" s="15" t="s">
        <v>12</v>
      </c>
      <c r="D15" s="13">
        <v>411014</v>
      </c>
      <c r="E15" s="7" t="s">
        <v>24</v>
      </c>
      <c r="F15" s="8">
        <v>6600000</v>
      </c>
    </row>
    <row r="16" spans="2:6" ht="30" x14ac:dyDescent="0.3">
      <c r="B16" s="14">
        <v>212101</v>
      </c>
      <c r="C16" s="16" t="s">
        <v>15</v>
      </c>
      <c r="D16" s="13">
        <v>411015</v>
      </c>
      <c r="E16" s="7" t="s">
        <v>25</v>
      </c>
      <c r="F16" s="8">
        <v>0</v>
      </c>
    </row>
    <row r="17" spans="2:6" x14ac:dyDescent="0.3">
      <c r="B17" s="14">
        <v>211103</v>
      </c>
      <c r="C17" s="15" t="s">
        <v>12</v>
      </c>
      <c r="D17" s="13">
        <v>411018</v>
      </c>
      <c r="E17" s="7" t="s">
        <v>26</v>
      </c>
      <c r="F17" s="8">
        <v>0</v>
      </c>
    </row>
    <row r="18" spans="2:6" x14ac:dyDescent="0.3">
      <c r="B18" s="14">
        <v>211103</v>
      </c>
      <c r="C18" s="15" t="s">
        <v>12</v>
      </c>
      <c r="D18" s="13">
        <v>411019</v>
      </c>
      <c r="E18" s="7" t="s">
        <v>27</v>
      </c>
      <c r="F18" s="8">
        <v>0</v>
      </c>
    </row>
    <row r="19" spans="2:6" x14ac:dyDescent="0.3">
      <c r="B19" s="14">
        <v>211103</v>
      </c>
      <c r="C19" s="15" t="s">
        <v>12</v>
      </c>
      <c r="D19" s="13">
        <v>411020</v>
      </c>
      <c r="E19" s="7" t="s">
        <v>28</v>
      </c>
      <c r="F19" s="8">
        <v>0</v>
      </c>
    </row>
    <row r="20" spans="2:6" x14ac:dyDescent="0.3">
      <c r="B20" s="14">
        <v>211103</v>
      </c>
      <c r="C20" s="15" t="s">
        <v>12</v>
      </c>
      <c r="D20" s="13">
        <v>411021</v>
      </c>
      <c r="E20" s="7" t="s">
        <v>29</v>
      </c>
      <c r="F20" s="8">
        <v>0</v>
      </c>
    </row>
    <row r="21" spans="2:6" ht="15.75" thickBot="1" x14ac:dyDescent="0.35">
      <c r="B21" s="14">
        <v>211103</v>
      </c>
      <c r="C21" s="15" t="s">
        <v>12</v>
      </c>
      <c r="D21" s="13">
        <v>411022</v>
      </c>
      <c r="E21" s="7" t="s">
        <v>30</v>
      </c>
      <c r="F21" s="8">
        <v>0</v>
      </c>
    </row>
    <row r="22" spans="2:6" ht="27.6" customHeight="1" thickBot="1" x14ac:dyDescent="0.35">
      <c r="B22" s="17"/>
      <c r="C22" s="18"/>
      <c r="D22" s="18"/>
      <c r="E22" s="19" t="s">
        <v>31</v>
      </c>
      <c r="F22" s="20">
        <f>SUM(F6:F21)</f>
        <v>5405298106.643568</v>
      </c>
    </row>
    <row r="23" spans="2:6" x14ac:dyDescent="0.3">
      <c r="B23" s="21"/>
      <c r="C23" s="22"/>
      <c r="D23" s="13" t="s">
        <v>32</v>
      </c>
      <c r="E23" s="7" t="s">
        <v>33</v>
      </c>
      <c r="F23" s="23">
        <v>0</v>
      </c>
    </row>
    <row r="24" spans="2:6" x14ac:dyDescent="0.3">
      <c r="B24" s="14">
        <v>227001</v>
      </c>
      <c r="C24" s="15" t="s">
        <v>34</v>
      </c>
      <c r="D24" s="13">
        <v>412001</v>
      </c>
      <c r="E24" s="7" t="s">
        <v>35</v>
      </c>
      <c r="F24" s="23">
        <v>0</v>
      </c>
    </row>
    <row r="25" spans="2:6" x14ac:dyDescent="0.3">
      <c r="B25" s="14">
        <v>227001</v>
      </c>
      <c r="C25" s="15" t="s">
        <v>34</v>
      </c>
      <c r="D25" s="13">
        <v>412002</v>
      </c>
      <c r="E25" s="7" t="s">
        <v>36</v>
      </c>
      <c r="F25" s="8">
        <v>65075349</v>
      </c>
    </row>
    <row r="26" spans="2:6" x14ac:dyDescent="0.3">
      <c r="B26" s="14">
        <v>227001</v>
      </c>
      <c r="C26" s="15" t="s">
        <v>34</v>
      </c>
      <c r="D26" s="13">
        <v>412003</v>
      </c>
      <c r="E26" s="7" t="s">
        <v>37</v>
      </c>
      <c r="F26" s="8">
        <v>212066334</v>
      </c>
    </row>
    <row r="27" spans="2:6" x14ac:dyDescent="0.3">
      <c r="B27" s="11">
        <v>228002</v>
      </c>
      <c r="C27" s="12" t="s">
        <v>38</v>
      </c>
      <c r="D27" s="13">
        <v>412004</v>
      </c>
      <c r="E27" s="7" t="s">
        <v>39</v>
      </c>
      <c r="F27" s="8">
        <v>5000000</v>
      </c>
    </row>
    <row r="28" spans="2:6" x14ac:dyDescent="0.3">
      <c r="B28" s="11">
        <v>227004</v>
      </c>
      <c r="C28" s="12" t="s">
        <v>40</v>
      </c>
      <c r="D28" s="13">
        <v>412005</v>
      </c>
      <c r="E28" s="7" t="s">
        <v>41</v>
      </c>
      <c r="F28" s="8">
        <v>56000000</v>
      </c>
    </row>
    <row r="29" spans="2:6" x14ac:dyDescent="0.3">
      <c r="B29" s="11">
        <v>228002</v>
      </c>
      <c r="C29" s="12" t="s">
        <v>38</v>
      </c>
      <c r="D29" s="13">
        <v>412007</v>
      </c>
      <c r="E29" s="7" t="s">
        <v>42</v>
      </c>
      <c r="F29" s="8">
        <v>10000000</v>
      </c>
    </row>
    <row r="30" spans="2:6" x14ac:dyDescent="0.3">
      <c r="B30" s="11">
        <v>228002</v>
      </c>
      <c r="C30" s="12" t="s">
        <v>38</v>
      </c>
      <c r="D30" s="13">
        <v>412008</v>
      </c>
      <c r="E30" s="7" t="s">
        <v>43</v>
      </c>
      <c r="F30" s="8">
        <v>40000000</v>
      </c>
    </row>
    <row r="31" spans="2:6" x14ac:dyDescent="0.3">
      <c r="B31" s="11">
        <v>226001</v>
      </c>
      <c r="C31" s="12" t="s">
        <v>16</v>
      </c>
      <c r="D31" s="13">
        <v>412011</v>
      </c>
      <c r="E31" s="7" t="s">
        <v>44</v>
      </c>
      <c r="F31" s="8">
        <v>0</v>
      </c>
    </row>
    <row r="32" spans="2:6" x14ac:dyDescent="0.3">
      <c r="B32" s="11">
        <v>227003</v>
      </c>
      <c r="C32" s="12" t="s">
        <v>45</v>
      </c>
      <c r="D32" s="13">
        <v>412012</v>
      </c>
      <c r="E32" s="7" t="s">
        <v>46</v>
      </c>
      <c r="F32" s="8">
        <v>0</v>
      </c>
    </row>
    <row r="33" spans="2:6" x14ac:dyDescent="0.3">
      <c r="B33" s="14">
        <v>227001</v>
      </c>
      <c r="C33" s="15" t="s">
        <v>34</v>
      </c>
      <c r="D33" s="13">
        <v>412014</v>
      </c>
      <c r="E33" s="7" t="s">
        <v>47</v>
      </c>
      <c r="F33" s="8">
        <v>0</v>
      </c>
    </row>
    <row r="34" spans="2:6" x14ac:dyDescent="0.3">
      <c r="B34" s="14">
        <v>227002</v>
      </c>
      <c r="C34" s="15" t="s">
        <v>48</v>
      </c>
      <c r="D34" s="13">
        <v>412015</v>
      </c>
      <c r="E34" s="7" t="s">
        <v>49</v>
      </c>
      <c r="F34" s="8">
        <v>1415000</v>
      </c>
    </row>
    <row r="35" spans="2:6" x14ac:dyDescent="0.3">
      <c r="B35" s="14">
        <v>227002</v>
      </c>
      <c r="C35" s="15" t="s">
        <v>48</v>
      </c>
      <c r="D35" s="13">
        <v>412016</v>
      </c>
      <c r="E35" s="7" t="s">
        <v>50</v>
      </c>
      <c r="F35" s="8">
        <v>7250000</v>
      </c>
    </row>
    <row r="36" spans="2:6" x14ac:dyDescent="0.3">
      <c r="B36" s="14">
        <v>227002</v>
      </c>
      <c r="C36" s="15" t="s">
        <v>48</v>
      </c>
      <c r="D36" s="13">
        <v>412017</v>
      </c>
      <c r="E36" s="7" t="s">
        <v>51</v>
      </c>
      <c r="F36" s="8">
        <v>12837500</v>
      </c>
    </row>
    <row r="37" spans="2:6" x14ac:dyDescent="0.3">
      <c r="B37" s="11">
        <v>227003</v>
      </c>
      <c r="C37" s="12" t="s">
        <v>45</v>
      </c>
      <c r="D37" s="13">
        <v>412019</v>
      </c>
      <c r="E37" s="7" t="s">
        <v>52</v>
      </c>
      <c r="F37" s="8">
        <v>0</v>
      </c>
    </row>
    <row r="38" spans="2:6" x14ac:dyDescent="0.3">
      <c r="B38" s="14">
        <v>227002</v>
      </c>
      <c r="C38" s="15" t="s">
        <v>48</v>
      </c>
      <c r="D38" s="13">
        <v>412023</v>
      </c>
      <c r="E38" s="7" t="s">
        <v>53</v>
      </c>
      <c r="F38" s="8">
        <v>0</v>
      </c>
    </row>
    <row r="39" spans="2:6" x14ac:dyDescent="0.3">
      <c r="B39" s="14">
        <v>227002</v>
      </c>
      <c r="C39" s="15" t="s">
        <v>48</v>
      </c>
      <c r="D39" s="13">
        <v>412025</v>
      </c>
      <c r="E39" s="7" t="s">
        <v>54</v>
      </c>
      <c r="F39" s="8">
        <v>0</v>
      </c>
    </row>
    <row r="40" spans="2:6" s="43" customFormat="1" x14ac:dyDescent="0.3">
      <c r="B40" s="14">
        <v>227001</v>
      </c>
      <c r="C40" s="15" t="s">
        <v>34</v>
      </c>
      <c r="D40" s="25">
        <v>412026</v>
      </c>
      <c r="E40" s="26" t="s">
        <v>55</v>
      </c>
      <c r="F40" s="42">
        <v>21502500</v>
      </c>
    </row>
    <row r="41" spans="2:6" ht="30.75" thickBot="1" x14ac:dyDescent="0.35">
      <c r="B41" s="14">
        <v>228002</v>
      </c>
      <c r="C41" s="15" t="s">
        <v>38</v>
      </c>
      <c r="D41" s="25">
        <v>412027</v>
      </c>
      <c r="E41" s="26" t="s">
        <v>56</v>
      </c>
      <c r="F41" s="8">
        <v>0</v>
      </c>
    </row>
    <row r="42" spans="2:6" ht="27.6" customHeight="1" thickBot="1" x14ac:dyDescent="0.35">
      <c r="B42" s="17"/>
      <c r="C42" s="18"/>
      <c r="D42" s="18"/>
      <c r="E42" s="19" t="s">
        <v>57</v>
      </c>
      <c r="F42" s="20">
        <f>SUM(F23:F41)</f>
        <v>431146683</v>
      </c>
    </row>
    <row r="43" spans="2:6" x14ac:dyDescent="0.3">
      <c r="B43" s="21"/>
      <c r="C43" s="22"/>
      <c r="D43" s="13" t="s">
        <v>58</v>
      </c>
      <c r="E43" s="7" t="s">
        <v>59</v>
      </c>
      <c r="F43" s="23">
        <v>0</v>
      </c>
    </row>
    <row r="44" spans="2:6" x14ac:dyDescent="0.3">
      <c r="B44" s="11">
        <v>228001</v>
      </c>
      <c r="C44" s="12" t="s">
        <v>60</v>
      </c>
      <c r="D44" s="13">
        <v>413001</v>
      </c>
      <c r="E44" s="7" t="s">
        <v>61</v>
      </c>
      <c r="F44" s="23">
        <v>0</v>
      </c>
    </row>
    <row r="45" spans="2:6" x14ac:dyDescent="0.3">
      <c r="B45" s="11">
        <v>228004</v>
      </c>
      <c r="C45" s="12" t="s">
        <v>62</v>
      </c>
      <c r="D45" s="13">
        <v>413002</v>
      </c>
      <c r="E45" s="7" t="s">
        <v>63</v>
      </c>
      <c r="F45" s="23">
        <v>0</v>
      </c>
    </row>
    <row r="46" spans="2:6" x14ac:dyDescent="0.3">
      <c r="B46" s="11">
        <v>228003</v>
      </c>
      <c r="C46" s="12" t="s">
        <v>64</v>
      </c>
      <c r="D46" s="13">
        <v>413003</v>
      </c>
      <c r="E46" s="7" t="s">
        <v>65</v>
      </c>
      <c r="F46" s="23">
        <v>0</v>
      </c>
    </row>
    <row r="47" spans="2:6" x14ac:dyDescent="0.3">
      <c r="B47" s="11">
        <v>228003</v>
      </c>
      <c r="C47" s="12" t="s">
        <v>64</v>
      </c>
      <c r="D47" s="13">
        <v>413004</v>
      </c>
      <c r="E47" s="7" t="s">
        <v>66</v>
      </c>
      <c r="F47" s="23">
        <v>0</v>
      </c>
    </row>
    <row r="48" spans="2:6" x14ac:dyDescent="0.3">
      <c r="B48" s="11">
        <v>221008</v>
      </c>
      <c r="C48" s="24" t="s">
        <v>67</v>
      </c>
      <c r="D48" s="13">
        <v>413005</v>
      </c>
      <c r="E48" s="7" t="s">
        <v>68</v>
      </c>
      <c r="F48" s="23">
        <v>0</v>
      </c>
    </row>
    <row r="49" spans="2:6" x14ac:dyDescent="0.3">
      <c r="B49" s="11">
        <v>228001</v>
      </c>
      <c r="C49" s="12" t="s">
        <v>60</v>
      </c>
      <c r="D49" s="13">
        <v>413006</v>
      </c>
      <c r="E49" s="7" t="s">
        <v>69</v>
      </c>
      <c r="F49" s="23">
        <v>0</v>
      </c>
    </row>
    <row r="50" spans="2:6" x14ac:dyDescent="0.3">
      <c r="B50" s="11">
        <v>223001</v>
      </c>
      <c r="C50" s="12" t="s">
        <v>70</v>
      </c>
      <c r="D50" s="13">
        <v>413007</v>
      </c>
      <c r="E50" s="7" t="s">
        <v>71</v>
      </c>
      <c r="F50" s="23">
        <v>0</v>
      </c>
    </row>
    <row r="51" spans="2:6" x14ac:dyDescent="0.3">
      <c r="B51" s="11">
        <v>228003</v>
      </c>
      <c r="C51" s="12" t="s">
        <v>64</v>
      </c>
      <c r="D51" s="13">
        <v>413008</v>
      </c>
      <c r="E51" s="7" t="s">
        <v>72</v>
      </c>
      <c r="F51" s="23">
        <v>0</v>
      </c>
    </row>
    <row r="52" spans="2:6" x14ac:dyDescent="0.3">
      <c r="B52" s="11">
        <v>228004</v>
      </c>
      <c r="C52" s="12" t="s">
        <v>62</v>
      </c>
      <c r="D52" s="13">
        <v>413009</v>
      </c>
      <c r="E52" s="7" t="s">
        <v>73</v>
      </c>
      <c r="F52" s="23">
        <v>0</v>
      </c>
    </row>
    <row r="53" spans="2:6" ht="15.75" thickBot="1" x14ac:dyDescent="0.35">
      <c r="B53" s="11">
        <v>221008</v>
      </c>
      <c r="C53" s="12" t="s">
        <v>67</v>
      </c>
      <c r="D53" s="25">
        <v>413010</v>
      </c>
      <c r="E53" s="26" t="s">
        <v>2</v>
      </c>
      <c r="F53" s="23">
        <v>0</v>
      </c>
    </row>
    <row r="54" spans="2:6" ht="27.6" customHeight="1" thickBot="1" x14ac:dyDescent="0.35">
      <c r="B54" s="17"/>
      <c r="C54" s="18"/>
      <c r="D54" s="18"/>
      <c r="E54" s="19" t="s">
        <v>74</v>
      </c>
      <c r="F54" s="20">
        <f>SUM(F43:F53)</f>
        <v>0</v>
      </c>
    </row>
    <row r="55" spans="2:6" x14ac:dyDescent="0.3">
      <c r="B55" s="21"/>
      <c r="C55" s="22"/>
      <c r="D55" s="13" t="s">
        <v>75</v>
      </c>
      <c r="E55" s="7" t="s">
        <v>76</v>
      </c>
      <c r="F55" s="23">
        <v>0</v>
      </c>
    </row>
    <row r="56" spans="2:6" x14ac:dyDescent="0.3">
      <c r="B56" s="14">
        <v>222002</v>
      </c>
      <c r="C56" s="15" t="s">
        <v>77</v>
      </c>
      <c r="D56" s="13">
        <v>414001</v>
      </c>
      <c r="E56" s="7" t="s">
        <v>78</v>
      </c>
      <c r="F56" s="23">
        <v>0</v>
      </c>
    </row>
    <row r="57" spans="2:6" x14ac:dyDescent="0.3">
      <c r="B57" s="11">
        <v>222001</v>
      </c>
      <c r="C57" s="12" t="s">
        <v>79</v>
      </c>
      <c r="D57" s="13">
        <v>414002</v>
      </c>
      <c r="E57" s="7" t="s">
        <v>80</v>
      </c>
      <c r="F57" s="23">
        <v>0</v>
      </c>
    </row>
    <row r="58" spans="2:6" x14ac:dyDescent="0.3">
      <c r="B58" s="11">
        <v>223005</v>
      </c>
      <c r="C58" s="12" t="s">
        <v>81</v>
      </c>
      <c r="D58" s="13">
        <v>414003</v>
      </c>
      <c r="E58" s="7" t="s">
        <v>82</v>
      </c>
      <c r="F58" s="23">
        <v>0</v>
      </c>
    </row>
    <row r="59" spans="2:6" x14ac:dyDescent="0.3">
      <c r="B59" s="11">
        <v>223006</v>
      </c>
      <c r="C59" s="12" t="s">
        <v>83</v>
      </c>
      <c r="D59" s="13">
        <v>414004</v>
      </c>
      <c r="E59" s="7" t="s">
        <v>83</v>
      </c>
      <c r="F59" s="8">
        <v>90000000</v>
      </c>
    </row>
    <row r="60" spans="2:6" x14ac:dyDescent="0.3">
      <c r="B60" s="11">
        <v>223002</v>
      </c>
      <c r="C60" s="12" t="s">
        <v>84</v>
      </c>
      <c r="D60" s="13">
        <v>414005</v>
      </c>
      <c r="E60" s="7" t="s">
        <v>85</v>
      </c>
      <c r="F60" s="8">
        <v>0</v>
      </c>
    </row>
    <row r="61" spans="2:6" x14ac:dyDescent="0.3">
      <c r="B61" s="11">
        <v>224004</v>
      </c>
      <c r="C61" s="12" t="s">
        <v>86</v>
      </c>
      <c r="D61" s="13">
        <v>414006</v>
      </c>
      <c r="E61" s="7" t="s">
        <v>87</v>
      </c>
      <c r="F61" s="8">
        <v>9400000</v>
      </c>
    </row>
    <row r="62" spans="2:6" x14ac:dyDescent="0.3">
      <c r="B62" s="11">
        <v>221009</v>
      </c>
      <c r="C62" s="12" t="s">
        <v>88</v>
      </c>
      <c r="D62" s="13">
        <v>414007</v>
      </c>
      <c r="E62" s="7" t="s">
        <v>89</v>
      </c>
      <c r="F62" s="8">
        <v>65979040</v>
      </c>
    </row>
    <row r="63" spans="2:6" x14ac:dyDescent="0.3">
      <c r="B63" s="11">
        <v>223003</v>
      </c>
      <c r="C63" s="12" t="s">
        <v>90</v>
      </c>
      <c r="D63" s="13">
        <v>414008</v>
      </c>
      <c r="E63" s="7" t="s">
        <v>91</v>
      </c>
      <c r="F63" s="8">
        <v>0</v>
      </c>
    </row>
    <row r="64" spans="2:6" x14ac:dyDescent="0.3">
      <c r="B64" s="11">
        <v>221004</v>
      </c>
      <c r="C64" s="12" t="s">
        <v>92</v>
      </c>
      <c r="D64" s="13">
        <v>414009</v>
      </c>
      <c r="E64" s="7" t="s">
        <v>93</v>
      </c>
      <c r="F64" s="8">
        <v>0</v>
      </c>
    </row>
    <row r="65" spans="2:6" ht="30" x14ac:dyDescent="0.3">
      <c r="B65" s="14">
        <v>221011</v>
      </c>
      <c r="C65" s="15" t="s">
        <v>94</v>
      </c>
      <c r="D65" s="13">
        <v>414010</v>
      </c>
      <c r="E65" s="7" t="s">
        <v>95</v>
      </c>
      <c r="F65" s="8">
        <v>133000000</v>
      </c>
    </row>
    <row r="66" spans="2:6" x14ac:dyDescent="0.3">
      <c r="B66" s="14">
        <v>226001</v>
      </c>
      <c r="C66" s="15" t="s">
        <v>16</v>
      </c>
      <c r="D66" s="13">
        <v>414011</v>
      </c>
      <c r="E66" s="7" t="s">
        <v>96</v>
      </c>
      <c r="F66" s="8">
        <v>0</v>
      </c>
    </row>
    <row r="67" spans="2:6" x14ac:dyDescent="0.3">
      <c r="B67" s="11">
        <v>227003</v>
      </c>
      <c r="C67" s="12" t="s">
        <v>45</v>
      </c>
      <c r="D67" s="13">
        <v>414012</v>
      </c>
      <c r="E67" s="7" t="s">
        <v>97</v>
      </c>
      <c r="F67" s="8">
        <v>0</v>
      </c>
    </row>
    <row r="68" spans="2:6" x14ac:dyDescent="0.3">
      <c r="B68" s="11">
        <v>221003</v>
      </c>
      <c r="C68" s="12" t="s">
        <v>98</v>
      </c>
      <c r="D68" s="13">
        <v>414013</v>
      </c>
      <c r="E68" s="7" t="s">
        <v>99</v>
      </c>
      <c r="F68" s="8">
        <v>9060000000</v>
      </c>
    </row>
    <row r="69" spans="2:6" x14ac:dyDescent="0.3">
      <c r="B69" s="11">
        <v>221007</v>
      </c>
      <c r="C69" s="12" t="s">
        <v>100</v>
      </c>
      <c r="D69" s="13">
        <v>414014</v>
      </c>
      <c r="E69" s="7" t="s">
        <v>101</v>
      </c>
      <c r="F69" s="8">
        <v>190000000</v>
      </c>
    </row>
    <row r="70" spans="2:6" x14ac:dyDescent="0.3">
      <c r="B70" s="11">
        <v>221014</v>
      </c>
      <c r="C70" s="12" t="s">
        <v>102</v>
      </c>
      <c r="D70" s="13">
        <v>414015</v>
      </c>
      <c r="E70" s="7" t="s">
        <v>103</v>
      </c>
      <c r="F70" s="8">
        <v>39555920</v>
      </c>
    </row>
    <row r="71" spans="2:6" x14ac:dyDescent="0.3">
      <c r="B71" s="11">
        <v>273102</v>
      </c>
      <c r="C71" s="12" t="s">
        <v>104</v>
      </c>
      <c r="D71" s="13">
        <v>414016</v>
      </c>
      <c r="E71" s="7" t="s">
        <v>105</v>
      </c>
      <c r="F71" s="8">
        <v>0</v>
      </c>
    </row>
    <row r="72" spans="2:6" x14ac:dyDescent="0.3">
      <c r="B72" s="11">
        <v>282102</v>
      </c>
      <c r="C72" s="12" t="s">
        <v>106</v>
      </c>
      <c r="D72" s="13">
        <v>414017</v>
      </c>
      <c r="E72" s="7" t="s">
        <v>107</v>
      </c>
      <c r="F72" s="8">
        <v>0</v>
      </c>
    </row>
    <row r="73" spans="2:6" x14ac:dyDescent="0.3">
      <c r="B73" s="11">
        <v>225001</v>
      </c>
      <c r="C73" s="12" t="s">
        <v>108</v>
      </c>
      <c r="D73" s="13">
        <v>414018</v>
      </c>
      <c r="E73" s="7" t="s">
        <v>109</v>
      </c>
      <c r="F73" s="8">
        <v>168625000</v>
      </c>
    </row>
    <row r="74" spans="2:6" x14ac:dyDescent="0.3">
      <c r="B74" s="11">
        <v>221002</v>
      </c>
      <c r="C74" s="12" t="s">
        <v>110</v>
      </c>
      <c r="D74" s="13">
        <v>414019</v>
      </c>
      <c r="E74" s="7" t="s">
        <v>111</v>
      </c>
      <c r="F74" s="8">
        <v>150000000</v>
      </c>
    </row>
    <row r="75" spans="2:6" x14ac:dyDescent="0.3">
      <c r="B75" s="11">
        <v>221001</v>
      </c>
      <c r="C75" s="12" t="s">
        <v>112</v>
      </c>
      <c r="D75" s="13">
        <v>414020</v>
      </c>
      <c r="E75" s="7" t="s">
        <v>113</v>
      </c>
      <c r="F75" s="8">
        <v>0</v>
      </c>
    </row>
    <row r="76" spans="2:6" x14ac:dyDescent="0.3">
      <c r="B76" s="11">
        <v>221009</v>
      </c>
      <c r="C76" s="12" t="s">
        <v>88</v>
      </c>
      <c r="D76" s="13">
        <v>414021</v>
      </c>
      <c r="E76" s="7" t="s">
        <v>114</v>
      </c>
      <c r="F76" s="8">
        <v>218918672</v>
      </c>
    </row>
    <row r="77" spans="2:6" x14ac:dyDescent="0.3">
      <c r="B77" s="11">
        <v>221009</v>
      </c>
      <c r="C77" s="12" t="s">
        <v>88</v>
      </c>
      <c r="D77" s="13">
        <v>414022</v>
      </c>
      <c r="E77" s="7" t="s">
        <v>115</v>
      </c>
      <c r="F77" s="8">
        <v>100000000</v>
      </c>
    </row>
    <row r="78" spans="2:6" x14ac:dyDescent="0.3">
      <c r="B78" s="11">
        <v>225001</v>
      </c>
      <c r="C78" s="12" t="s">
        <v>108</v>
      </c>
      <c r="D78" s="13">
        <v>414024</v>
      </c>
      <c r="E78" s="7" t="s">
        <v>116</v>
      </c>
      <c r="F78" s="8">
        <v>88639000</v>
      </c>
    </row>
    <row r="79" spans="2:6" x14ac:dyDescent="0.3">
      <c r="B79" s="11">
        <v>224005</v>
      </c>
      <c r="C79" s="12" t="s">
        <v>117</v>
      </c>
      <c r="D79" s="13">
        <v>414025</v>
      </c>
      <c r="E79" s="7" t="s">
        <v>118</v>
      </c>
      <c r="F79" s="8">
        <v>0</v>
      </c>
    </row>
    <row r="80" spans="2:6" x14ac:dyDescent="0.3">
      <c r="B80" s="11">
        <v>223004</v>
      </c>
      <c r="C80" s="12" t="s">
        <v>119</v>
      </c>
      <c r="D80" s="25">
        <v>414026</v>
      </c>
      <c r="E80" s="26" t="s">
        <v>120</v>
      </c>
      <c r="F80" s="8">
        <v>0</v>
      </c>
    </row>
    <row r="81" spans="2:6" ht="30" x14ac:dyDescent="0.3">
      <c r="B81" s="14">
        <v>221011</v>
      </c>
      <c r="C81" s="15" t="s">
        <v>94</v>
      </c>
      <c r="D81" s="13">
        <v>414027</v>
      </c>
      <c r="E81" s="7" t="s">
        <v>121</v>
      </c>
      <c r="F81" s="8">
        <v>0</v>
      </c>
    </row>
    <row r="82" spans="2:6" x14ac:dyDescent="0.3">
      <c r="B82" s="11">
        <v>221017</v>
      </c>
      <c r="C82" s="12" t="s">
        <v>122</v>
      </c>
      <c r="D82" s="13">
        <v>414028</v>
      </c>
      <c r="E82" s="7" t="s">
        <v>123</v>
      </c>
      <c r="F82" s="8">
        <v>85000000</v>
      </c>
    </row>
    <row r="83" spans="2:6" x14ac:dyDescent="0.3">
      <c r="B83" s="11">
        <v>228004</v>
      </c>
      <c r="C83" s="12" t="s">
        <v>62</v>
      </c>
      <c r="D83" s="13">
        <v>414029</v>
      </c>
      <c r="E83" s="7" t="s">
        <v>124</v>
      </c>
      <c r="F83" s="8">
        <v>15856000</v>
      </c>
    </row>
    <row r="84" spans="2:6" x14ac:dyDescent="0.3">
      <c r="B84" s="14">
        <v>227001</v>
      </c>
      <c r="C84" s="15" t="s">
        <v>34</v>
      </c>
      <c r="D84" s="13">
        <v>414030</v>
      </c>
      <c r="E84" s="7" t="s">
        <v>125</v>
      </c>
      <c r="F84" s="8">
        <v>0</v>
      </c>
    </row>
    <row r="85" spans="2:6" x14ac:dyDescent="0.3">
      <c r="B85" s="11">
        <v>221001</v>
      </c>
      <c r="C85" s="12" t="s">
        <v>112</v>
      </c>
      <c r="D85" s="13">
        <v>414032</v>
      </c>
      <c r="E85" s="7" t="s">
        <v>126</v>
      </c>
      <c r="F85" s="8">
        <v>0</v>
      </c>
    </row>
    <row r="86" spans="2:6" x14ac:dyDescent="0.3">
      <c r="B86" s="11">
        <v>228004</v>
      </c>
      <c r="C86" s="12" t="s">
        <v>62</v>
      </c>
      <c r="D86" s="25">
        <v>414033</v>
      </c>
      <c r="E86" s="26" t="s">
        <v>127</v>
      </c>
      <c r="F86" s="8">
        <v>0</v>
      </c>
    </row>
    <row r="87" spans="2:6" x14ac:dyDescent="0.3">
      <c r="B87" s="11">
        <v>222003</v>
      </c>
      <c r="C87" s="12" t="s">
        <v>128</v>
      </c>
      <c r="D87" s="25">
        <v>414034</v>
      </c>
      <c r="E87" s="26" t="s">
        <v>129</v>
      </c>
      <c r="F87" s="8">
        <v>0</v>
      </c>
    </row>
    <row r="88" spans="2:6" x14ac:dyDescent="0.3">
      <c r="B88" s="14">
        <v>227001</v>
      </c>
      <c r="C88" s="15" t="s">
        <v>34</v>
      </c>
      <c r="D88" s="13">
        <v>414035</v>
      </c>
      <c r="E88" s="7" t="s">
        <v>130</v>
      </c>
      <c r="F88" s="8">
        <v>0</v>
      </c>
    </row>
    <row r="89" spans="2:6" x14ac:dyDescent="0.3">
      <c r="B89" s="11">
        <v>221002</v>
      </c>
      <c r="C89" s="12" t="s">
        <v>110</v>
      </c>
      <c r="D89" s="13">
        <v>414037</v>
      </c>
      <c r="E89" s="7" t="s">
        <v>131</v>
      </c>
      <c r="F89" s="8">
        <v>0</v>
      </c>
    </row>
    <row r="90" spans="2:6" x14ac:dyDescent="0.3">
      <c r="B90" s="11">
        <v>221002</v>
      </c>
      <c r="C90" s="12" t="s">
        <v>110</v>
      </c>
      <c r="D90" s="13">
        <v>414043</v>
      </c>
      <c r="E90" s="7" t="s">
        <v>132</v>
      </c>
      <c r="F90" s="8">
        <v>0</v>
      </c>
    </row>
    <row r="91" spans="2:6" x14ac:dyDescent="0.3">
      <c r="B91" s="11">
        <v>221002</v>
      </c>
      <c r="C91" s="12" t="s">
        <v>110</v>
      </c>
      <c r="D91" s="13">
        <v>414046</v>
      </c>
      <c r="E91" s="7" t="s">
        <v>133</v>
      </c>
      <c r="F91" s="8">
        <v>0</v>
      </c>
    </row>
    <row r="92" spans="2:6" x14ac:dyDescent="0.3">
      <c r="B92" s="14">
        <v>211103</v>
      </c>
      <c r="C92" s="15" t="s">
        <v>12</v>
      </c>
      <c r="D92" s="13">
        <v>414048</v>
      </c>
      <c r="E92" s="7" t="s">
        <v>134</v>
      </c>
      <c r="F92" s="8">
        <v>179776380</v>
      </c>
    </row>
    <row r="93" spans="2:6" x14ac:dyDescent="0.3">
      <c r="B93" s="11">
        <v>221002</v>
      </c>
      <c r="C93" s="12" t="s">
        <v>110</v>
      </c>
      <c r="D93" s="13">
        <v>414049</v>
      </c>
      <c r="E93" s="7" t="s">
        <v>135</v>
      </c>
      <c r="F93" s="8">
        <v>0</v>
      </c>
    </row>
    <row r="94" spans="2:6" x14ac:dyDescent="0.3">
      <c r="B94" s="11">
        <v>225001</v>
      </c>
      <c r="C94" s="12" t="s">
        <v>108</v>
      </c>
      <c r="D94" s="13">
        <v>414052</v>
      </c>
      <c r="E94" s="7" t="s">
        <v>136</v>
      </c>
      <c r="F94" s="8">
        <v>0</v>
      </c>
    </row>
    <row r="95" spans="2:6" x14ac:dyDescent="0.3">
      <c r="B95" s="14">
        <v>227001</v>
      </c>
      <c r="C95" s="15" t="s">
        <v>34</v>
      </c>
      <c r="D95" s="13">
        <v>414068</v>
      </c>
      <c r="E95" s="7" t="s">
        <v>137</v>
      </c>
      <c r="F95" s="8">
        <v>0</v>
      </c>
    </row>
    <row r="96" spans="2:6" x14ac:dyDescent="0.3">
      <c r="B96" s="14">
        <v>227002</v>
      </c>
      <c r="C96" s="15" t="s">
        <v>48</v>
      </c>
      <c r="D96" s="13">
        <v>414069</v>
      </c>
      <c r="E96" s="7" t="s">
        <v>138</v>
      </c>
      <c r="F96" s="8">
        <v>0</v>
      </c>
    </row>
    <row r="97" spans="2:6" ht="15.75" thickBot="1" x14ac:dyDescent="0.35">
      <c r="B97" s="14"/>
      <c r="C97" s="15"/>
      <c r="D97" s="13">
        <v>414076</v>
      </c>
      <c r="E97" s="7" t="s">
        <v>139</v>
      </c>
      <c r="F97" s="8">
        <v>0</v>
      </c>
    </row>
    <row r="98" spans="2:6" ht="16.899999999999999" customHeight="1" thickBot="1" x14ac:dyDescent="0.35">
      <c r="B98" s="17"/>
      <c r="C98" s="18"/>
      <c r="D98" s="18"/>
      <c r="E98" s="19" t="s">
        <v>140</v>
      </c>
      <c r="F98" s="20">
        <f>SUM(F55:F97)</f>
        <v>10594750012</v>
      </c>
    </row>
    <row r="99" spans="2:6" x14ac:dyDescent="0.3">
      <c r="B99" s="21"/>
      <c r="C99" s="22"/>
      <c r="D99" s="13" t="s">
        <v>141</v>
      </c>
      <c r="E99" s="7" t="s">
        <v>142</v>
      </c>
      <c r="F99" s="23">
        <v>0</v>
      </c>
    </row>
    <row r="100" spans="2:6" x14ac:dyDescent="0.3">
      <c r="B100" s="11">
        <v>221006</v>
      </c>
      <c r="C100" s="12" t="s">
        <v>143</v>
      </c>
      <c r="D100" s="13">
        <v>415001</v>
      </c>
      <c r="E100" s="7" t="s">
        <v>144</v>
      </c>
      <c r="F100" s="23">
        <v>0</v>
      </c>
    </row>
    <row r="101" spans="2:6" x14ac:dyDescent="0.3">
      <c r="B101" s="11">
        <v>221006</v>
      </c>
      <c r="C101" s="12" t="s">
        <v>143</v>
      </c>
      <c r="D101" s="13">
        <v>415002</v>
      </c>
      <c r="E101" s="7" t="s">
        <v>145</v>
      </c>
      <c r="F101" s="23">
        <v>0</v>
      </c>
    </row>
    <row r="102" spans="2:6" ht="15.75" thickBot="1" x14ac:dyDescent="0.35">
      <c r="B102" s="11">
        <v>221006</v>
      </c>
      <c r="C102" s="12" t="s">
        <v>143</v>
      </c>
      <c r="D102" s="13">
        <v>415007</v>
      </c>
      <c r="E102" s="7" t="s">
        <v>146</v>
      </c>
      <c r="F102" s="23">
        <v>0</v>
      </c>
    </row>
    <row r="103" spans="2:6" ht="16.899999999999999" customHeight="1" thickBot="1" x14ac:dyDescent="0.35">
      <c r="B103" s="17"/>
      <c r="C103" s="18"/>
      <c r="D103" s="18"/>
      <c r="E103" s="19" t="s">
        <v>147</v>
      </c>
      <c r="F103" s="20">
        <f>SUM(F99:F102)</f>
        <v>0</v>
      </c>
    </row>
    <row r="104" spans="2:6" s="3" customFormat="1" ht="13.5" thickBot="1" x14ac:dyDescent="0.3">
      <c r="B104" s="27"/>
      <c r="C104" s="28"/>
      <c r="D104" s="29"/>
      <c r="E104" s="30" t="s">
        <v>148</v>
      </c>
      <c r="F104" s="31">
        <f>F103+F98+F54+F42+F22</f>
        <v>16431194801.643568</v>
      </c>
    </row>
    <row r="105" spans="2:6" x14ac:dyDescent="0.3">
      <c r="B105" s="21"/>
      <c r="C105" s="22"/>
      <c r="D105" s="13"/>
      <c r="E105" s="7"/>
      <c r="F105" s="23">
        <v>0</v>
      </c>
    </row>
    <row r="106" spans="2:6" ht="25.5" x14ac:dyDescent="0.3">
      <c r="B106" s="9"/>
      <c r="C106" s="44"/>
      <c r="D106" s="13"/>
      <c r="E106" s="7" t="s">
        <v>149</v>
      </c>
      <c r="F106" s="23">
        <v>0</v>
      </c>
    </row>
    <row r="107" spans="2:6" x14ac:dyDescent="0.3">
      <c r="B107" s="11">
        <v>312101</v>
      </c>
      <c r="C107" s="12" t="s">
        <v>150</v>
      </c>
      <c r="D107" s="13">
        <v>111001</v>
      </c>
      <c r="E107" s="7" t="s">
        <v>151</v>
      </c>
      <c r="F107" s="23">
        <v>0</v>
      </c>
    </row>
    <row r="108" spans="2:6" x14ac:dyDescent="0.3">
      <c r="B108" s="11">
        <v>312213</v>
      </c>
      <c r="C108" s="12" t="s">
        <v>152</v>
      </c>
      <c r="D108" s="25">
        <v>414057</v>
      </c>
      <c r="E108" s="26" t="s">
        <v>153</v>
      </c>
      <c r="F108" s="23">
        <v>0</v>
      </c>
    </row>
    <row r="109" spans="2:6" x14ac:dyDescent="0.3">
      <c r="B109" s="11">
        <v>312101</v>
      </c>
      <c r="C109" s="12" t="s">
        <v>150</v>
      </c>
      <c r="D109" s="13">
        <v>111004</v>
      </c>
      <c r="E109" s="7" t="s">
        <v>154</v>
      </c>
      <c r="F109" s="23">
        <v>0</v>
      </c>
    </row>
    <row r="110" spans="2:6" x14ac:dyDescent="0.3">
      <c r="B110" s="11">
        <v>312202</v>
      </c>
      <c r="C110" s="12" t="s">
        <v>155</v>
      </c>
      <c r="D110" s="13">
        <v>111005</v>
      </c>
      <c r="E110" s="7" t="s">
        <v>156</v>
      </c>
      <c r="F110" s="23">
        <v>0</v>
      </c>
    </row>
    <row r="111" spans="2:6" x14ac:dyDescent="0.3">
      <c r="B111" s="11">
        <v>312203</v>
      </c>
      <c r="C111" s="12" t="s">
        <v>156</v>
      </c>
      <c r="D111" s="25">
        <v>111008</v>
      </c>
      <c r="E111" s="26" t="s">
        <v>0</v>
      </c>
      <c r="F111" s="23">
        <v>0</v>
      </c>
    </row>
    <row r="112" spans="2:6" x14ac:dyDescent="0.3">
      <c r="B112" s="11">
        <v>312213</v>
      </c>
      <c r="C112" s="12" t="s">
        <v>152</v>
      </c>
      <c r="D112" s="13">
        <v>111003</v>
      </c>
      <c r="E112" s="7" t="s">
        <v>157</v>
      </c>
      <c r="F112" s="23">
        <v>0</v>
      </c>
    </row>
    <row r="113" spans="2:6" x14ac:dyDescent="0.3">
      <c r="B113" s="11">
        <v>312201</v>
      </c>
      <c r="C113" s="12" t="s">
        <v>158</v>
      </c>
      <c r="D113" s="25">
        <v>111009</v>
      </c>
      <c r="E113" s="26" t="s">
        <v>159</v>
      </c>
      <c r="F113" s="23">
        <v>0</v>
      </c>
    </row>
    <row r="114" spans="2:6" x14ac:dyDescent="0.3">
      <c r="B114" s="11">
        <v>312213</v>
      </c>
      <c r="C114" s="12" t="s">
        <v>152</v>
      </c>
      <c r="D114" s="25">
        <v>111009</v>
      </c>
      <c r="E114" s="26" t="s">
        <v>1</v>
      </c>
      <c r="F114" s="23">
        <v>0</v>
      </c>
    </row>
    <row r="115" spans="2:6" ht="15.75" thickBot="1" x14ac:dyDescent="0.35">
      <c r="B115" s="11">
        <v>312213</v>
      </c>
      <c r="C115" s="12" t="s">
        <v>152</v>
      </c>
      <c r="D115" s="13">
        <v>111010</v>
      </c>
      <c r="E115" s="7" t="s">
        <v>160</v>
      </c>
      <c r="F115" s="23">
        <v>0</v>
      </c>
    </row>
    <row r="116" spans="2:6" ht="15.75" thickBot="1" x14ac:dyDescent="0.35">
      <c r="B116" s="17"/>
      <c r="C116" s="18"/>
      <c r="D116" s="45"/>
      <c r="E116" s="19" t="s">
        <v>161</v>
      </c>
      <c r="F116" s="20">
        <v>0</v>
      </c>
    </row>
    <row r="117" spans="2:6" s="35" customFormat="1" ht="30.75" thickBot="1" x14ac:dyDescent="0.3">
      <c r="B117" s="32"/>
      <c r="C117" s="33"/>
      <c r="D117" s="33"/>
      <c r="E117" s="46" t="s">
        <v>162</v>
      </c>
      <c r="F117" s="34">
        <f>F104+F116</f>
        <v>16431194801.643568</v>
      </c>
    </row>
    <row r="118" spans="2:6" x14ac:dyDescent="0.3">
      <c r="B118" s="47"/>
      <c r="C118" s="48"/>
      <c r="D118" s="49"/>
    </row>
    <row r="119" spans="2:6" x14ac:dyDescent="0.3">
      <c r="B119" s="47"/>
      <c r="D119" s="49"/>
    </row>
    <row r="120" spans="2:6" x14ac:dyDescent="0.3">
      <c r="B120" s="47"/>
      <c r="D120" s="49"/>
    </row>
    <row r="121" spans="2:6" x14ac:dyDescent="0.3">
      <c r="B121" s="47"/>
      <c r="D121" s="49"/>
    </row>
    <row r="122" spans="2:6" x14ac:dyDescent="0.3">
      <c r="B122" s="47"/>
      <c r="D122" s="49"/>
    </row>
    <row r="123" spans="2:6" x14ac:dyDescent="0.3">
      <c r="B123" s="47"/>
      <c r="D123" s="49"/>
    </row>
    <row r="124" spans="2:6" x14ac:dyDescent="0.3">
      <c r="B124" s="47"/>
      <c r="D124" s="49"/>
    </row>
    <row r="125" spans="2:6" x14ac:dyDescent="0.3">
      <c r="B125" s="47"/>
      <c r="D125" s="49"/>
    </row>
    <row r="126" spans="2:6" x14ac:dyDescent="0.3">
      <c r="B126" s="47"/>
      <c r="D126" s="49"/>
    </row>
    <row r="127" spans="2:6" x14ac:dyDescent="0.3">
      <c r="B127" s="47"/>
      <c r="D127" s="49"/>
    </row>
    <row r="128" spans="2:6" x14ac:dyDescent="0.3">
      <c r="B128" s="47"/>
      <c r="D128" s="49"/>
    </row>
    <row r="129" spans="2:4" x14ac:dyDescent="0.3">
      <c r="B129" s="47"/>
      <c r="D129" s="49"/>
    </row>
    <row r="130" spans="2:4" x14ac:dyDescent="0.3">
      <c r="B130" s="47"/>
      <c r="D130" s="49"/>
    </row>
    <row r="131" spans="2:4" x14ac:dyDescent="0.3">
      <c r="B131" s="47"/>
      <c r="D131" s="49"/>
    </row>
    <row r="132" spans="2:4" x14ac:dyDescent="0.3">
      <c r="B132" s="47"/>
      <c r="D132" s="49"/>
    </row>
    <row r="133" spans="2:4" x14ac:dyDescent="0.3">
      <c r="B133" s="47"/>
      <c r="D133" s="49"/>
    </row>
    <row r="134" spans="2:4" x14ac:dyDescent="0.3">
      <c r="B134" s="47"/>
      <c r="D134" s="49"/>
    </row>
    <row r="135" spans="2:4" x14ac:dyDescent="0.3">
      <c r="B135" s="47"/>
      <c r="D135" s="49"/>
    </row>
    <row r="136" spans="2:4" x14ac:dyDescent="0.3">
      <c r="B136" s="47"/>
      <c r="D136" s="49"/>
    </row>
    <row r="137" spans="2:4" x14ac:dyDescent="0.3">
      <c r="B137" s="47"/>
      <c r="D137" s="49"/>
    </row>
    <row r="138" spans="2:4" x14ac:dyDescent="0.3">
      <c r="B138" s="47"/>
      <c r="D138" s="49"/>
    </row>
    <row r="139" spans="2:4" x14ac:dyDescent="0.3">
      <c r="B139" s="47"/>
      <c r="D139" s="49"/>
    </row>
    <row r="140" spans="2:4" x14ac:dyDescent="0.3">
      <c r="B140" s="47"/>
      <c r="D140" s="49"/>
    </row>
    <row r="141" spans="2:4" x14ac:dyDescent="0.3">
      <c r="B141" s="47"/>
      <c r="D141" s="49"/>
    </row>
    <row r="142" spans="2:4" x14ac:dyDescent="0.3">
      <c r="B142" s="47"/>
      <c r="D142" s="49"/>
    </row>
    <row r="143" spans="2:4" x14ac:dyDescent="0.3">
      <c r="B143" s="47"/>
      <c r="D143" s="49"/>
    </row>
    <row r="144" spans="2:4" x14ac:dyDescent="0.3">
      <c r="B144" s="47"/>
      <c r="D144" s="49"/>
    </row>
    <row r="145" spans="2:4" x14ac:dyDescent="0.3">
      <c r="B145" s="47"/>
      <c r="D145" s="49"/>
    </row>
    <row r="146" spans="2:4" x14ac:dyDescent="0.3">
      <c r="B146" s="47"/>
      <c r="D146" s="49"/>
    </row>
    <row r="147" spans="2:4" x14ac:dyDescent="0.3">
      <c r="B147" s="47"/>
      <c r="D147" s="49"/>
    </row>
    <row r="148" spans="2:4" x14ac:dyDescent="0.3">
      <c r="B148" s="47"/>
      <c r="D148" s="49"/>
    </row>
    <row r="149" spans="2:4" x14ac:dyDescent="0.3">
      <c r="B149" s="47"/>
      <c r="D149" s="49"/>
    </row>
    <row r="150" spans="2:4" x14ac:dyDescent="0.3">
      <c r="B150" s="47"/>
      <c r="D150" s="49"/>
    </row>
    <row r="151" spans="2:4" x14ac:dyDescent="0.3">
      <c r="B151" s="47"/>
      <c r="D151" s="49"/>
    </row>
    <row r="152" spans="2:4" x14ac:dyDescent="0.3">
      <c r="B152" s="47"/>
      <c r="D152" s="49"/>
    </row>
    <row r="153" spans="2:4" x14ac:dyDescent="0.3">
      <c r="B153" s="47"/>
      <c r="D153" s="49"/>
    </row>
    <row r="154" spans="2:4" x14ac:dyDescent="0.3">
      <c r="B154" s="47"/>
      <c r="D154" s="49"/>
    </row>
    <row r="155" spans="2:4" x14ac:dyDescent="0.3">
      <c r="B155" s="47"/>
      <c r="D155" s="49"/>
    </row>
    <row r="156" spans="2:4" x14ac:dyDescent="0.3">
      <c r="B156" s="47"/>
      <c r="D156" s="49"/>
    </row>
    <row r="157" spans="2:4" x14ac:dyDescent="0.3">
      <c r="B157" s="47"/>
      <c r="D157" s="49"/>
    </row>
    <row r="158" spans="2:4" x14ac:dyDescent="0.3">
      <c r="B158" s="47"/>
      <c r="D158" s="49"/>
    </row>
    <row r="159" spans="2:4" x14ac:dyDescent="0.3">
      <c r="B159" s="47"/>
      <c r="D159" s="49"/>
    </row>
    <row r="160" spans="2:4" x14ac:dyDescent="0.3">
      <c r="B160" s="47"/>
      <c r="D160" s="49"/>
    </row>
    <row r="161" spans="2:4" x14ac:dyDescent="0.3">
      <c r="B161" s="47"/>
      <c r="D161" s="49"/>
    </row>
    <row r="162" spans="2:4" x14ac:dyDescent="0.3">
      <c r="B162" s="47"/>
      <c r="D162" s="49"/>
    </row>
    <row r="163" spans="2:4" x14ac:dyDescent="0.3">
      <c r="B163" s="47"/>
      <c r="D163" s="49"/>
    </row>
    <row r="164" spans="2:4" x14ac:dyDescent="0.3">
      <c r="B164" s="47"/>
      <c r="D164" s="49"/>
    </row>
    <row r="165" spans="2:4" x14ac:dyDescent="0.3">
      <c r="B165" s="47"/>
      <c r="D165" s="49"/>
    </row>
    <row r="166" spans="2:4" x14ac:dyDescent="0.3">
      <c r="B166" s="47"/>
      <c r="D166" s="49"/>
    </row>
    <row r="167" spans="2:4" x14ac:dyDescent="0.3">
      <c r="B167" s="47"/>
      <c r="D167" s="49"/>
    </row>
    <row r="168" spans="2:4" x14ac:dyDescent="0.3">
      <c r="B168" s="47"/>
      <c r="D168" s="49"/>
    </row>
    <row r="169" spans="2:4" x14ac:dyDescent="0.3">
      <c r="B169" s="47"/>
      <c r="D169" s="49"/>
    </row>
    <row r="170" spans="2:4" x14ac:dyDescent="0.3">
      <c r="B170" s="47"/>
      <c r="D170" s="49"/>
    </row>
    <row r="171" spans="2:4" x14ac:dyDescent="0.3">
      <c r="B171" s="47"/>
      <c r="D171" s="49"/>
    </row>
    <row r="172" spans="2:4" x14ac:dyDescent="0.3">
      <c r="B172" s="47"/>
      <c r="D172" s="49"/>
    </row>
    <row r="173" spans="2:4" x14ac:dyDescent="0.3">
      <c r="B173" s="47"/>
      <c r="D173" s="49"/>
    </row>
    <row r="174" spans="2:4" x14ac:dyDescent="0.3">
      <c r="B174" s="47"/>
      <c r="D174" s="49"/>
    </row>
    <row r="175" spans="2:4" x14ac:dyDescent="0.3">
      <c r="B175" s="47"/>
      <c r="D175" s="49"/>
    </row>
    <row r="176" spans="2:4" x14ac:dyDescent="0.3">
      <c r="B176" s="47"/>
      <c r="D176" s="49"/>
    </row>
    <row r="177" spans="2:4" x14ac:dyDescent="0.3">
      <c r="B177" s="47"/>
      <c r="D177" s="49"/>
    </row>
    <row r="178" spans="2:4" x14ac:dyDescent="0.3">
      <c r="B178" s="47"/>
      <c r="D178" s="49"/>
    </row>
    <row r="179" spans="2:4" x14ac:dyDescent="0.3">
      <c r="B179" s="47"/>
      <c r="D179" s="49"/>
    </row>
    <row r="180" spans="2:4" x14ac:dyDescent="0.3">
      <c r="B180" s="47"/>
      <c r="D180" s="49"/>
    </row>
    <row r="181" spans="2:4" x14ac:dyDescent="0.3">
      <c r="B181" s="47"/>
      <c r="D181" s="49"/>
    </row>
    <row r="182" spans="2:4" x14ac:dyDescent="0.3">
      <c r="B182" s="47"/>
      <c r="D182" s="49"/>
    </row>
    <row r="183" spans="2:4" x14ac:dyDescent="0.3">
      <c r="B183" s="47"/>
      <c r="D183" s="49"/>
    </row>
    <row r="184" spans="2:4" x14ac:dyDescent="0.3">
      <c r="B184" s="47"/>
      <c r="D184" s="49"/>
    </row>
    <row r="185" spans="2:4" x14ac:dyDescent="0.3">
      <c r="B185" s="47"/>
      <c r="D185" s="49"/>
    </row>
    <row r="186" spans="2:4" x14ac:dyDescent="0.3">
      <c r="B186" s="47"/>
      <c r="D186" s="49"/>
    </row>
    <row r="187" spans="2:4" x14ac:dyDescent="0.3">
      <c r="B187" s="47"/>
      <c r="D187" s="49"/>
    </row>
    <row r="188" spans="2:4" x14ac:dyDescent="0.3">
      <c r="B188" s="47"/>
      <c r="D188" s="49"/>
    </row>
    <row r="189" spans="2:4" x14ac:dyDescent="0.3">
      <c r="B189" s="47"/>
      <c r="D189" s="49"/>
    </row>
    <row r="190" spans="2:4" x14ac:dyDescent="0.3">
      <c r="B190" s="47"/>
      <c r="D190" s="49"/>
    </row>
    <row r="191" spans="2:4" x14ac:dyDescent="0.3">
      <c r="B191" s="47"/>
      <c r="D191" s="49"/>
    </row>
    <row r="192" spans="2:4" x14ac:dyDescent="0.3">
      <c r="B192" s="47"/>
      <c r="D192" s="49"/>
    </row>
    <row r="193" spans="2:4" x14ac:dyDescent="0.3">
      <c r="B193" s="47"/>
      <c r="D193" s="49"/>
    </row>
    <row r="194" spans="2:4" x14ac:dyDescent="0.3">
      <c r="B194" s="47"/>
      <c r="D194" s="49"/>
    </row>
    <row r="195" spans="2:4" x14ac:dyDescent="0.3">
      <c r="B195" s="47"/>
      <c r="D195" s="49"/>
    </row>
    <row r="196" spans="2:4" x14ac:dyDescent="0.3">
      <c r="B196" s="47"/>
      <c r="D196" s="49"/>
    </row>
    <row r="197" spans="2:4" x14ac:dyDescent="0.3">
      <c r="B197" s="47"/>
      <c r="D197" s="49"/>
    </row>
    <row r="198" spans="2:4" x14ac:dyDescent="0.3">
      <c r="B198" s="47"/>
      <c r="D198" s="49"/>
    </row>
    <row r="199" spans="2:4" x14ac:dyDescent="0.3">
      <c r="B199" s="47"/>
      <c r="D199" s="49"/>
    </row>
    <row r="200" spans="2:4" x14ac:dyDescent="0.3">
      <c r="B200" s="47"/>
      <c r="D200" s="49"/>
    </row>
    <row r="201" spans="2:4" x14ac:dyDescent="0.3">
      <c r="B201" s="47"/>
      <c r="D201" s="49"/>
    </row>
    <row r="202" spans="2:4" x14ac:dyDescent="0.3">
      <c r="B202" s="47"/>
      <c r="D202" s="49"/>
    </row>
    <row r="203" spans="2:4" x14ac:dyDescent="0.3">
      <c r="B203" s="47"/>
      <c r="D203" s="49"/>
    </row>
    <row r="204" spans="2:4" x14ac:dyDescent="0.3">
      <c r="B204" s="47"/>
      <c r="D204" s="49"/>
    </row>
    <row r="205" spans="2:4" x14ac:dyDescent="0.3">
      <c r="B205" s="47"/>
      <c r="D205" s="49"/>
    </row>
    <row r="206" spans="2:4" x14ac:dyDescent="0.3">
      <c r="B206" s="47"/>
      <c r="D206" s="49"/>
    </row>
    <row r="207" spans="2:4" x14ac:dyDescent="0.3">
      <c r="B207" s="47"/>
      <c r="D207" s="49"/>
    </row>
    <row r="208" spans="2:4" x14ac:dyDescent="0.3">
      <c r="B208" s="47"/>
      <c r="D208" s="49"/>
    </row>
    <row r="209" spans="2:4" x14ac:dyDescent="0.3">
      <c r="B209" s="47"/>
      <c r="D209" s="49"/>
    </row>
    <row r="210" spans="2:4" x14ac:dyDescent="0.3">
      <c r="B210" s="47"/>
      <c r="D210" s="49"/>
    </row>
    <row r="211" spans="2:4" x14ac:dyDescent="0.3">
      <c r="B211" s="47"/>
      <c r="D211" s="49"/>
    </row>
    <row r="212" spans="2:4" x14ac:dyDescent="0.3">
      <c r="B212" s="47"/>
      <c r="D212" s="49"/>
    </row>
    <row r="213" spans="2:4" x14ac:dyDescent="0.3">
      <c r="B213" s="47"/>
      <c r="D213" s="49"/>
    </row>
    <row r="214" spans="2:4" x14ac:dyDescent="0.3">
      <c r="B214" s="47"/>
      <c r="D214" s="49"/>
    </row>
    <row r="215" spans="2:4" x14ac:dyDescent="0.3">
      <c r="B215" s="47"/>
      <c r="D215" s="49"/>
    </row>
    <row r="216" spans="2:4" x14ac:dyDescent="0.3">
      <c r="B216" s="47"/>
      <c r="D216" s="49"/>
    </row>
    <row r="217" spans="2:4" x14ac:dyDescent="0.3">
      <c r="B217" s="47"/>
      <c r="D217" s="49"/>
    </row>
    <row r="218" spans="2:4" x14ac:dyDescent="0.3">
      <c r="B218" s="47"/>
      <c r="D218" s="49"/>
    </row>
    <row r="219" spans="2:4" x14ac:dyDescent="0.3">
      <c r="B219" s="47"/>
      <c r="D219" s="49"/>
    </row>
    <row r="220" spans="2:4" x14ac:dyDescent="0.3">
      <c r="B220" s="47"/>
      <c r="D220" s="49"/>
    </row>
    <row r="221" spans="2:4" x14ac:dyDescent="0.3">
      <c r="B221" s="47"/>
      <c r="D221" s="49"/>
    </row>
    <row r="222" spans="2:4" x14ac:dyDescent="0.3">
      <c r="B222" s="47"/>
      <c r="D222" s="49"/>
    </row>
    <row r="223" spans="2:4" x14ac:dyDescent="0.3">
      <c r="B223" s="47"/>
      <c r="D223" s="49"/>
    </row>
    <row r="224" spans="2:4" x14ac:dyDescent="0.3">
      <c r="B224" s="47"/>
      <c r="D224" s="49"/>
    </row>
    <row r="225" spans="2:4" x14ac:dyDescent="0.3">
      <c r="B225" s="47"/>
      <c r="D225" s="49"/>
    </row>
    <row r="226" spans="2:4" x14ac:dyDescent="0.3">
      <c r="B226" s="47"/>
      <c r="D226" s="49"/>
    </row>
    <row r="227" spans="2:4" x14ac:dyDescent="0.3">
      <c r="B227" s="47"/>
      <c r="D227" s="49"/>
    </row>
    <row r="228" spans="2:4" x14ac:dyDescent="0.3">
      <c r="B228" s="47"/>
      <c r="D228" s="49"/>
    </row>
    <row r="229" spans="2:4" x14ac:dyDescent="0.3">
      <c r="B229" s="47"/>
      <c r="D229" s="49"/>
    </row>
    <row r="230" spans="2:4" x14ac:dyDescent="0.3">
      <c r="B230" s="47"/>
      <c r="D230" s="49"/>
    </row>
    <row r="231" spans="2:4" x14ac:dyDescent="0.3">
      <c r="B231" s="47"/>
      <c r="D231" s="49"/>
    </row>
    <row r="232" spans="2:4" x14ac:dyDescent="0.3">
      <c r="B232" s="47"/>
      <c r="D232" s="49"/>
    </row>
    <row r="233" spans="2:4" x14ac:dyDescent="0.3">
      <c r="B233" s="47"/>
      <c r="D233" s="49"/>
    </row>
    <row r="234" spans="2:4" x14ac:dyDescent="0.3">
      <c r="B234" s="47"/>
      <c r="D234" s="49"/>
    </row>
    <row r="235" spans="2:4" x14ac:dyDescent="0.3">
      <c r="B235" s="47"/>
      <c r="D235" s="49"/>
    </row>
    <row r="236" spans="2:4" x14ac:dyDescent="0.3">
      <c r="B236" s="47"/>
      <c r="D236" s="49"/>
    </row>
    <row r="237" spans="2:4" x14ac:dyDescent="0.3">
      <c r="B237" s="47"/>
      <c r="D237" s="49"/>
    </row>
    <row r="238" spans="2:4" x14ac:dyDescent="0.3">
      <c r="B238" s="47"/>
      <c r="D238" s="49"/>
    </row>
    <row r="239" spans="2:4" x14ac:dyDescent="0.3">
      <c r="B239" s="47"/>
      <c r="D239" s="49"/>
    </row>
    <row r="240" spans="2:4" x14ac:dyDescent="0.3">
      <c r="B240" s="47"/>
      <c r="D240" s="49"/>
    </row>
    <row r="241" spans="2:4" x14ac:dyDescent="0.3">
      <c r="B241" s="47"/>
      <c r="D241" s="49"/>
    </row>
    <row r="242" spans="2:4" x14ac:dyDescent="0.3">
      <c r="B242" s="47"/>
      <c r="D242" s="49"/>
    </row>
    <row r="243" spans="2:4" x14ac:dyDescent="0.3">
      <c r="B243" s="47"/>
      <c r="D243" s="49"/>
    </row>
    <row r="244" spans="2:4" x14ac:dyDescent="0.3">
      <c r="B244" s="47"/>
      <c r="D244" s="49"/>
    </row>
    <row r="245" spans="2:4" x14ac:dyDescent="0.3">
      <c r="B245" s="47"/>
      <c r="D245" s="49"/>
    </row>
    <row r="246" spans="2:4" x14ac:dyDescent="0.3">
      <c r="B246" s="47"/>
      <c r="D246" s="49"/>
    </row>
    <row r="247" spans="2:4" x14ac:dyDescent="0.3">
      <c r="B247" s="47"/>
      <c r="D247" s="49"/>
    </row>
    <row r="248" spans="2:4" x14ac:dyDescent="0.3">
      <c r="B248" s="47"/>
      <c r="D248" s="49"/>
    </row>
    <row r="249" spans="2:4" x14ac:dyDescent="0.3">
      <c r="B249" s="47"/>
      <c r="D249" s="49"/>
    </row>
    <row r="250" spans="2:4" x14ac:dyDescent="0.3">
      <c r="B250" s="47"/>
      <c r="D250" s="49"/>
    </row>
    <row r="251" spans="2:4" x14ac:dyDescent="0.3">
      <c r="B251" s="47"/>
      <c r="D251" s="49"/>
    </row>
    <row r="252" spans="2:4" x14ac:dyDescent="0.3">
      <c r="B252" s="47"/>
      <c r="D252" s="49"/>
    </row>
    <row r="253" spans="2:4" x14ac:dyDescent="0.3">
      <c r="B253" s="47"/>
      <c r="D253" s="49"/>
    </row>
    <row r="254" spans="2:4" x14ac:dyDescent="0.3">
      <c r="B254" s="47"/>
      <c r="D254" s="49"/>
    </row>
    <row r="255" spans="2:4" x14ac:dyDescent="0.3">
      <c r="B255" s="47"/>
      <c r="D255" s="49"/>
    </row>
    <row r="256" spans="2:4" x14ac:dyDescent="0.3">
      <c r="B256" s="47"/>
      <c r="D256" s="49"/>
    </row>
    <row r="257" spans="2:4" x14ac:dyDescent="0.3">
      <c r="B257" s="47"/>
      <c r="D257" s="49"/>
    </row>
    <row r="258" spans="2:4" x14ac:dyDescent="0.3">
      <c r="B258" s="47"/>
      <c r="D258" s="49"/>
    </row>
    <row r="259" spans="2:4" x14ac:dyDescent="0.3">
      <c r="B259" s="47"/>
      <c r="D259" s="49"/>
    </row>
    <row r="260" spans="2:4" x14ac:dyDescent="0.3">
      <c r="B260" s="47"/>
      <c r="D260" s="49"/>
    </row>
    <row r="261" spans="2:4" x14ac:dyDescent="0.3">
      <c r="B261" s="47"/>
      <c r="D261" s="49"/>
    </row>
    <row r="262" spans="2:4" x14ac:dyDescent="0.3">
      <c r="B262" s="47"/>
      <c r="D262" s="49"/>
    </row>
    <row r="263" spans="2:4" x14ac:dyDescent="0.3">
      <c r="B263" s="47"/>
      <c r="D263" s="49"/>
    </row>
    <row r="264" spans="2:4" x14ac:dyDescent="0.3">
      <c r="B264" s="47"/>
      <c r="D264" s="49"/>
    </row>
    <row r="265" spans="2:4" x14ac:dyDescent="0.3">
      <c r="B265" s="47"/>
      <c r="D265" s="49"/>
    </row>
    <row r="266" spans="2:4" x14ac:dyDescent="0.3">
      <c r="B266" s="47"/>
      <c r="D266" s="49"/>
    </row>
    <row r="267" spans="2:4" x14ac:dyDescent="0.3">
      <c r="B267" s="47"/>
      <c r="D267" s="49"/>
    </row>
    <row r="268" spans="2:4" x14ac:dyDescent="0.3">
      <c r="B268" s="47"/>
      <c r="D268" s="49"/>
    </row>
    <row r="269" spans="2:4" x14ac:dyDescent="0.3">
      <c r="B269" s="47"/>
      <c r="D269" s="49"/>
    </row>
    <row r="270" spans="2:4" x14ac:dyDescent="0.3">
      <c r="B270" s="47"/>
      <c r="D270" s="49"/>
    </row>
    <row r="271" spans="2:4" x14ac:dyDescent="0.3">
      <c r="B271" s="47"/>
      <c r="D271" s="49"/>
    </row>
    <row r="272" spans="2:4" x14ac:dyDescent="0.3">
      <c r="B272" s="47"/>
      <c r="D272" s="49"/>
    </row>
    <row r="273" spans="2:4" x14ac:dyDescent="0.3">
      <c r="B273" s="47"/>
      <c r="D273" s="49"/>
    </row>
    <row r="274" spans="2:4" x14ac:dyDescent="0.3">
      <c r="B274" s="47"/>
      <c r="D274" s="49"/>
    </row>
    <row r="275" spans="2:4" x14ac:dyDescent="0.3">
      <c r="B275" s="47"/>
      <c r="D275" s="49"/>
    </row>
    <row r="276" spans="2:4" x14ac:dyDescent="0.3">
      <c r="B276" s="47"/>
      <c r="D276" s="49"/>
    </row>
    <row r="277" spans="2:4" x14ac:dyDescent="0.3">
      <c r="B277" s="47"/>
      <c r="D277" s="49"/>
    </row>
    <row r="278" spans="2:4" x14ac:dyDescent="0.3">
      <c r="B278" s="47"/>
      <c r="D278" s="49"/>
    </row>
    <row r="279" spans="2:4" x14ac:dyDescent="0.3">
      <c r="B279" s="47"/>
      <c r="D279" s="49"/>
    </row>
    <row r="280" spans="2:4" x14ac:dyDescent="0.3">
      <c r="B280" s="47"/>
      <c r="D280" s="49"/>
    </row>
    <row r="281" spans="2:4" x14ac:dyDescent="0.3">
      <c r="B281" s="47"/>
      <c r="D281" s="49"/>
    </row>
    <row r="282" spans="2:4" x14ac:dyDescent="0.3">
      <c r="B282" s="47"/>
      <c r="D282" s="49"/>
    </row>
    <row r="283" spans="2:4" x14ac:dyDescent="0.3">
      <c r="B283" s="47"/>
      <c r="D283" s="49"/>
    </row>
    <row r="284" spans="2:4" x14ac:dyDescent="0.3">
      <c r="B284" s="47"/>
      <c r="D284" s="49"/>
    </row>
    <row r="285" spans="2:4" x14ac:dyDescent="0.3">
      <c r="B285" s="47"/>
      <c r="D285" s="49"/>
    </row>
    <row r="286" spans="2:4" x14ac:dyDescent="0.3">
      <c r="B286" s="47"/>
      <c r="D286" s="49"/>
    </row>
  </sheetData>
  <mergeCells count="1">
    <mergeCell ref="C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Dept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Ceaser Labeja</dc:creator>
  <cp:lastModifiedBy>User</cp:lastModifiedBy>
  <dcterms:created xsi:type="dcterms:W3CDTF">2025-03-05T14:58:13Z</dcterms:created>
  <dcterms:modified xsi:type="dcterms:W3CDTF">2026-07-22T11:59:30Z</dcterms:modified>
</cp:coreProperties>
</file>